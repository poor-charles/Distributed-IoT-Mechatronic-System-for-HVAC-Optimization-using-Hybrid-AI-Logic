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opaw\Downloads\"/>
    </mc:Choice>
  </mc:AlternateContent>
  <xr:revisionPtr revIDLastSave="0" documentId="13_ncr:1_{87DA2FD2-9540-4AA1-B382-B8AA65F271CB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Consumer ROI Dashboard" sheetId="2" state="hidden" r:id="rId1"/>
    <sheet name="Consumer Inputs" sheetId="1" r:id="rId2"/>
    <sheet name="Consumer Cash Flow" sheetId="3" r:id="rId3"/>
    <sheet name="Consumer Scenarios" sheetId="4" r:id="rId4"/>
    <sheet name="Sensitivity Analysis" sheetId="5" r:id="rId5"/>
    <sheet name="Depreciation Schedule" sheetId="6" r:id="rId6"/>
    <sheet name="Methodology Notes" sheetId="7" r:id="rId7"/>
  </sheets>
  <calcPr calcId="181029"/>
</workbook>
</file>

<file path=xl/calcChain.xml><?xml version="1.0" encoding="utf-8"?>
<calcChain xmlns="http://schemas.openxmlformats.org/spreadsheetml/2006/main">
  <c r="F6" i="4" l="1"/>
  <c r="E4" i="4"/>
  <c r="E6" i="4"/>
  <c r="E5" i="4"/>
  <c r="F6" i="3"/>
  <c r="I6" i="3"/>
  <c r="C5" i="3"/>
  <c r="E16" i="3"/>
  <c r="B16" i="3"/>
  <c r="C16" i="3"/>
  <c r="D16" i="3"/>
  <c r="G16" i="3" s="1"/>
  <c r="I16" i="3" s="1"/>
  <c r="F16" i="3"/>
  <c r="H16" i="3"/>
  <c r="B15" i="3"/>
  <c r="C15" i="3"/>
  <c r="D15" i="3" s="1"/>
  <c r="G15" i="3" s="1"/>
  <c r="H15" i="3"/>
  <c r="C5" i="4"/>
  <c r="C6" i="4" s="1"/>
  <c r="B15" i="6"/>
  <c r="B16" i="6"/>
  <c r="B14" i="6"/>
  <c r="B13" i="6"/>
  <c r="B12" i="6"/>
  <c r="B11" i="6"/>
  <c r="B10" i="6"/>
  <c r="B9" i="6"/>
  <c r="B8" i="6"/>
  <c r="B7" i="6"/>
  <c r="B6" i="6"/>
  <c r="B5" i="6"/>
  <c r="D4" i="6"/>
  <c r="C4" i="6"/>
  <c r="B4" i="6"/>
  <c r="F9" i="5"/>
  <c r="E9" i="5"/>
  <c r="D9" i="5"/>
  <c r="C9" i="5"/>
  <c r="B9" i="5"/>
  <c r="F8" i="5"/>
  <c r="E8" i="5"/>
  <c r="D8" i="5"/>
  <c r="C8" i="5"/>
  <c r="B8" i="5"/>
  <c r="F7" i="5"/>
  <c r="E7" i="5"/>
  <c r="D7" i="5"/>
  <c r="C7" i="5"/>
  <c r="B7" i="5"/>
  <c r="F6" i="5"/>
  <c r="E6" i="5"/>
  <c r="D6" i="5"/>
  <c r="C6" i="5"/>
  <c r="B6" i="5"/>
  <c r="F5" i="5"/>
  <c r="E5" i="5"/>
  <c r="D5" i="5"/>
  <c r="C5" i="5"/>
  <c r="B5" i="5"/>
  <c r="F4" i="5"/>
  <c r="E4" i="5"/>
  <c r="D4" i="5"/>
  <c r="C4" i="5"/>
  <c r="B4" i="5"/>
  <c r="F5" i="4"/>
  <c r="D5" i="4"/>
  <c r="F4" i="4"/>
  <c r="H14" i="3"/>
  <c r="C14" i="3"/>
  <c r="D14" i="3" s="1"/>
  <c r="B14" i="3"/>
  <c r="H13" i="3"/>
  <c r="C13" i="3"/>
  <c r="B13" i="3"/>
  <c r="H12" i="3"/>
  <c r="C12" i="3"/>
  <c r="B12" i="3"/>
  <c r="H11" i="3"/>
  <c r="C11" i="3"/>
  <c r="B11" i="3"/>
  <c r="H10" i="3"/>
  <c r="C10" i="3"/>
  <c r="B10" i="3"/>
  <c r="H9" i="3"/>
  <c r="C9" i="3"/>
  <c r="B9" i="3"/>
  <c r="H8" i="3"/>
  <c r="C8" i="3"/>
  <c r="D8" i="3" s="1"/>
  <c r="B8" i="3"/>
  <c r="H7" i="3"/>
  <c r="C7" i="3"/>
  <c r="B7" i="3"/>
  <c r="H6" i="3"/>
  <c r="C6" i="3"/>
  <c r="B6" i="3"/>
  <c r="H5" i="3"/>
  <c r="B5" i="3"/>
  <c r="I4" i="3"/>
  <c r="J4" i="3" s="1"/>
  <c r="B9" i="2"/>
  <c r="B4" i="2"/>
  <c r="H6" i="4" l="1"/>
  <c r="H5" i="4"/>
  <c r="J16" i="3"/>
  <c r="F15" i="3"/>
  <c r="I15" i="3" s="1"/>
  <c r="E15" i="3"/>
  <c r="C4" i="4"/>
  <c r="G4" i="4" s="1"/>
  <c r="C16" i="6"/>
  <c r="D16" i="6" s="1"/>
  <c r="C15" i="6"/>
  <c r="D15" i="6" s="1"/>
  <c r="F9" i="3"/>
  <c r="F5" i="3"/>
  <c r="B5" i="2" s="1"/>
  <c r="F13" i="3"/>
  <c r="F10" i="3"/>
  <c r="G14" i="3"/>
  <c r="F12" i="3"/>
  <c r="F11" i="3"/>
  <c r="B11" i="2"/>
  <c r="G6" i="4"/>
  <c r="C14" i="6"/>
  <c r="D14" i="6" s="1"/>
  <c r="C9" i="6"/>
  <c r="D9" i="6" s="1"/>
  <c r="C5" i="6"/>
  <c r="D5" i="6" s="1"/>
  <c r="B17" i="2"/>
  <c r="G5" i="4"/>
  <c r="C6" i="6"/>
  <c r="D6" i="6" s="1"/>
  <c r="C7" i="6"/>
  <c r="D7" i="6" s="1"/>
  <c r="C11" i="6"/>
  <c r="D11" i="6" s="1"/>
  <c r="C10" i="6"/>
  <c r="D10" i="6" s="1"/>
  <c r="C12" i="6"/>
  <c r="D12" i="6" s="1"/>
  <c r="C8" i="6"/>
  <c r="D8" i="6" s="1"/>
  <c r="C13" i="6"/>
  <c r="D13" i="6" s="1"/>
  <c r="F8" i="3"/>
  <c r="G8" i="3"/>
  <c r="E8" i="3"/>
  <c r="K4" i="3"/>
  <c r="E14" i="3"/>
  <c r="D7" i="3"/>
  <c r="G7" i="3" s="1"/>
  <c r="D13" i="3"/>
  <c r="G13" i="3" s="1"/>
  <c r="F14" i="3"/>
  <c r="D6" i="3"/>
  <c r="G6" i="3" s="1"/>
  <c r="F7" i="3"/>
  <c r="D12" i="3"/>
  <c r="G12" i="3" s="1"/>
  <c r="D5" i="3"/>
  <c r="G5" i="3" s="1"/>
  <c r="B6" i="2" s="1"/>
  <c r="D11" i="3"/>
  <c r="G11" i="3" s="1"/>
  <c r="D10" i="3"/>
  <c r="G10" i="3" s="1"/>
  <c r="D9" i="3"/>
  <c r="G9" i="3" s="1"/>
  <c r="H4" i="4" l="1"/>
  <c r="J15" i="3"/>
  <c r="I9" i="3"/>
  <c r="J9" i="3" s="1"/>
  <c r="I13" i="3"/>
  <c r="J13" i="3" s="1"/>
  <c r="I14" i="3"/>
  <c r="J14" i="3" s="1"/>
  <c r="J6" i="3"/>
  <c r="I11" i="3"/>
  <c r="J11" i="3" s="1"/>
  <c r="I10" i="3"/>
  <c r="J10" i="3" s="1"/>
  <c r="I12" i="3"/>
  <c r="J12" i="3" s="1"/>
  <c r="I8" i="3"/>
  <c r="J8" i="3" s="1"/>
  <c r="E9" i="3"/>
  <c r="E13" i="3"/>
  <c r="E5" i="3"/>
  <c r="B7" i="2" s="1"/>
  <c r="E12" i="3"/>
  <c r="E11" i="3"/>
  <c r="I7" i="3"/>
  <c r="J7" i="3" s="1"/>
  <c r="E7" i="3"/>
  <c r="I5" i="3"/>
  <c r="E6" i="3"/>
  <c r="B8" i="2"/>
  <c r="E10" i="3"/>
  <c r="J5" i="3" l="1"/>
  <c r="B16" i="2" s="1"/>
  <c r="B14" i="2"/>
  <c r="B10" i="2"/>
  <c r="B13" i="2"/>
  <c r="B15" i="2"/>
  <c r="K5" i="3"/>
  <c r="K6" i="3" s="1"/>
  <c r="K7" i="3" s="1"/>
  <c r="K8" i="3" s="1"/>
  <c r="K9" i="3" s="1"/>
  <c r="K10" i="3" s="1"/>
  <c r="K11" i="3" s="1"/>
  <c r="K12" i="3" s="1"/>
  <c r="K13" i="3" l="1"/>
  <c r="K14" i="3" s="1"/>
  <c r="K15" i="3" s="1"/>
  <c r="K16" i="3" s="1"/>
  <c r="B12" i="2"/>
</calcChain>
</file>

<file path=xl/sharedStrings.xml><?xml version="1.0" encoding="utf-8"?>
<sst xmlns="http://schemas.openxmlformats.org/spreadsheetml/2006/main" count="160" uniqueCount="129">
  <si>
    <t>Smart HVAC Controller Consumer-Side Assumptions</t>
  </si>
  <si>
    <t>Input</t>
  </si>
  <si>
    <t>Value</t>
  </si>
  <si>
    <t>Unit</t>
  </si>
  <si>
    <t>Analysis Horizon</t>
  </si>
  <si>
    <t>years</t>
  </si>
  <si>
    <t>Consumer ownership period used for ROI and payback evaluation.</t>
  </si>
  <si>
    <t>Electricity Rate</t>
  </si>
  <si>
    <t>Peso/kWh</t>
  </si>
  <si>
    <t>Consumer tariff paid for HVAC electricity consumption in Year 1.</t>
  </si>
  <si>
    <t>Electricity Rate Escalation</t>
  </si>
  <si>
    <t>%/year</t>
  </si>
  <si>
    <t>Expected yearly increase in electricity price.</t>
  </si>
  <si>
    <t>Optional Discount Rate</t>
  </si>
  <si>
    <t>Used only for discounted payback and present-value savings.</t>
  </si>
  <si>
    <t>Existing HVAC Annual Energy Consumption (Before Smart Controller)</t>
  </si>
  <si>
    <t>kWh/year</t>
  </si>
  <si>
    <t>Measured or estimated Year 1 annual HVAC energy consumption under manual setpoint operation. The HVAC unit is not purchased; it already exists.</t>
  </si>
  <si>
    <t>Annual HVAC Energy Consumption Variation</t>
  </si>
  <si>
    <t>Expected yearly change in existing HVAC energy use due to weather, occupancy, operating hours, and equipment aging.</t>
  </si>
  <si>
    <t>Measured Energy Savings Achieved by Smart HVAC Controller</t>
  </si>
  <si>
    <t>%</t>
  </si>
  <si>
    <t>Experimentally observed savings delivered by the controller; applied to each year's projected baseline HVAC consumption.</t>
  </si>
  <si>
    <t>Smart HVAC Controller Package Cost</t>
  </si>
  <si>
    <t>Peso</t>
  </si>
  <si>
    <t>One-time consumer cost for the controller package only. This does NOT include the HVAC unit.</t>
  </si>
  <si>
    <t>Controller Installation &amp; Setup Cost</t>
  </si>
  <si>
    <t>One-time installation, configuration, and commissioning cost for the controller.</t>
  </si>
  <si>
    <t>Peso/year</t>
  </si>
  <si>
    <t>Recurring consumer-side operating cost. Enter 0 if none.</t>
  </si>
  <si>
    <t>Additional HVAC Maintenance Savings (Optional)</t>
  </si>
  <si>
    <t>Optional avoided maintenance/service cost; keep 0 if not measured or quantified.</t>
  </si>
  <si>
    <t>Residual / Resale Value at End of Horizon</t>
  </si>
  <si>
    <t>Optional resale or residual value at the end of the analysis horizon.</t>
  </si>
  <si>
    <t>Consumer Financing Cost</t>
  </si>
  <si>
    <t>Optional financing or loan setup cost; use 0 if paid upfront.</t>
  </si>
  <si>
    <t>Smart Controller Useful Life</t>
  </si>
  <si>
    <t>Expected service life of the Smart HVAC controller package.</t>
  </si>
  <si>
    <t>Smart Controller Salvage Value</t>
  </si>
  <si>
    <t>Residual value at the end of the controller useful life for depreciation calculation.</t>
  </si>
  <si>
    <t>Smart HVAC Controller: Consumer ROI and Payback Dashboard</t>
  </si>
  <si>
    <t>Key Consumer Result</t>
  </si>
  <si>
    <t>Interpretation</t>
  </si>
  <si>
    <t>Total Consumer CAPEX</t>
  </si>
  <si>
    <t>Product package + installation/setup + financing cost.</t>
  </si>
  <si>
    <t>Year 1 Manual HVAC Bill</t>
  </si>
  <si>
    <t>Cost of existing HVAC operation before smart controller.</t>
  </si>
  <si>
    <t>Year 1 Smart HVAC Bill</t>
  </si>
  <si>
    <t>Cost after the controller reduces HVAC energy consumption.</t>
  </si>
  <si>
    <t>Year 1 kWh Saved</t>
  </si>
  <si>
    <t>Energy reduction achieved by controller operation.</t>
  </si>
  <si>
    <t>Year 1 Gross Electricity Savings</t>
  </si>
  <si>
    <t>Bill reduction before annual controller OPEX.</t>
  </si>
  <si>
    <t>Annual Smart Controller OPEX</t>
  </si>
  <si>
    <t>Recurring cloud/maintenance/subscription cost.</t>
  </si>
  <si>
    <t>Year 1 Net Savings</t>
  </si>
  <si>
    <t>Gross electricity savings minus controller OPEX plus optional maintenance savings.</t>
  </si>
  <si>
    <t>Simple Payback Period</t>
  </si>
  <si>
    <t>Years needed for the consumer to recover initial investment.</t>
  </si>
  <si>
    <t>Discounted Payback Year</t>
  </si>
  <si>
    <t>First year when discounted cumulative cash flow becomes positive.</t>
  </si>
  <si>
    <t>3-Year ROI</t>
  </si>
  <si>
    <t>Consumer return over 3 years based on net cash savings.</t>
  </si>
  <si>
    <t>5-Year ROI</t>
  </si>
  <si>
    <t>Consumer return over 5 years based on net cash savings.</t>
  </si>
  <si>
    <t>10-Year ROI</t>
  </si>
  <si>
    <t>Consumer return over 10 years based on net cash savings.</t>
  </si>
  <si>
    <t>NPV of Consumer Savings</t>
  </si>
  <si>
    <t>Present value of all net cash flows including initial CAPEX.</t>
  </si>
  <si>
    <t>Controller Depreciation / Year</t>
  </si>
  <si>
    <t>Straight-line accounting depreciation; not a cash expense.</t>
  </si>
  <si>
    <t>Consumer Cash Flow: Existing HVAC vs Smart HVAC Controller Purchase</t>
  </si>
  <si>
    <t>Year</t>
  </si>
  <si>
    <t>Manual HVAC kWh</t>
  </si>
  <si>
    <t>Smart HVAC kWh</t>
  </si>
  <si>
    <t>kWh Saved</t>
  </si>
  <si>
    <t>Manual Bill</t>
  </si>
  <si>
    <t>Smart Bill</t>
  </si>
  <si>
    <t>Recurring Smart Cost</t>
  </si>
  <si>
    <t>Net Annual Savings</t>
  </si>
  <si>
    <t>Discounted Savings</t>
  </si>
  <si>
    <t>Cumulative Net Cash Flow</t>
  </si>
  <si>
    <t>-</t>
  </si>
  <si>
    <t>Consumer Adoption Scenarios</t>
  </si>
  <si>
    <t>Scenario</t>
  </si>
  <si>
    <t>Controller Cost Factor</t>
  </si>
  <si>
    <t>Savings %</t>
  </si>
  <si>
    <t>Total CAPEX</t>
  </si>
  <si>
    <t>Simple Payback</t>
  </si>
  <si>
    <t>Conservative</t>
  </si>
  <si>
    <t>Base</t>
  </si>
  <si>
    <t>Optimistic</t>
  </si>
  <si>
    <t>Sensitivity Analysis: Payback Under Varying Electricity Rate and Savings</t>
  </si>
  <si>
    <t>Savings % \ Rate</t>
  </si>
  <si>
    <t>Straight-Line Depreciation of Smart HVAC Controller Package</t>
  </si>
  <si>
    <t>Annual Depreciation</t>
  </si>
  <si>
    <t>Accumulated Depreciation</t>
  </si>
  <si>
    <t>Book Value</t>
  </si>
  <si>
    <t>Note</t>
  </si>
  <si>
    <t>Initial book value of controller asset.</t>
  </si>
  <si>
    <t>Depreciation is accounting-based and is not deducted from cash savings.</t>
  </si>
  <si>
    <t>Smart HVAC Controller Consumer-Side Techno-Economic Methodology</t>
  </si>
  <si>
    <t>Scope</t>
  </si>
  <si>
    <t>This workbook evaluates the consumer's economic benefit from purchasing the Smart HVAC controller package. It does not include the cost of buying a new HVAC unit, because the controller is installed on an existing HVAC system.</t>
  </si>
  <si>
    <t>CAPEX</t>
  </si>
  <si>
    <t>Consumer CAPEX includes the controller package cost, controller installation/setup cost, and optional financing cost. It excludes producer-side costs such as R&amp;D, manufacturing overhead, marketing, and salaries.</t>
  </si>
  <si>
    <t>OPEX</t>
  </si>
  <si>
    <t>Consumer OPEX includes recurring costs paid by the consumer after purchase, such as maintenance, cloud service, subscription, software support, or periodic calibration. If no recurring cost exists, enter 0.</t>
  </si>
  <si>
    <t>Baseline Energy</t>
  </si>
  <si>
    <t>Existing HVAC Annual Energy Consumption is the Year 1 energy use of the current/manual HVAC operation before installing the controller. This should come from measured data, a calibrated simulation, or a validated digital twin.</t>
  </si>
  <si>
    <t>Variable kWh</t>
  </si>
  <si>
    <t>Manual HVAC kWh is allowed to vary annually using the Annual HVAC Energy Consumption Variation input. This accounts for changes in weather, occupancy, operating hours, and equipment aging.</t>
  </si>
  <si>
    <t>Smart HVAC kWh is calculated by applying the measured controller savings percentage to each year's projected manual HVAC kWh. The HVAC unit remains the same; only the control strategy changes.</t>
  </si>
  <si>
    <t>Net Annual Savings = Manual Bill − Smart Bill − Smart Controller OPEX + Additional Maintenance Savings. This is the cash benefit used for payback and ROI.</t>
  </si>
  <si>
    <t>Payback</t>
  </si>
  <si>
    <t>Simple Payback = Total Consumer CAPEX / Year 1 Net Annual Savings. The cash-flow sheet also shows the year when cumulative net cash flow becomes positive.</t>
  </si>
  <si>
    <t>Discounted Payback</t>
  </si>
  <si>
    <t>Discounted savings apply the optional discount rate to reflect the time value of money. This is shown as a supporting metric; simple payback and ROI are still reported for consumer readability.</t>
  </si>
  <si>
    <t>ROI</t>
  </si>
  <si>
    <t>ROI = (Cumulative Net Savings + Residual Value − Initial CAPEX) / Initial CAPEX. It is shown for 3-year, 5-year, and 10-year consumer ownership periods.</t>
  </si>
  <si>
    <t>Depreciation</t>
  </si>
  <si>
    <t>Straight-line depreciation is included only as a supporting accounting indicator for the controller asset. It is not subtracted from cash savings because depreciation is not an actual cash outflow.</t>
  </si>
  <si>
    <t>Yellow Cells</t>
  </si>
  <si>
    <t>Yellow cells in the Consumer Inputs sheet are editable assumptions. Formula cells in other sheets should generally not be modified.</t>
  </si>
  <si>
    <t>Defense Note</t>
  </si>
  <si>
    <t>The economic story is: the consumer already has an HVAC unit, buys only the smart controller, pays any recurring controller OPEX, and receives savings from reduced HVAC electricity consumption.</t>
  </si>
  <si>
    <t>Purpose / Meanimgng</t>
  </si>
  <si>
    <t xml:space="preserve">Smart Controller Annual Maintenance </t>
  </si>
  <si>
    <t>12-Year 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</si>
</sst>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\₱#,##0.0000"/>
    <numFmt numFmtId="166" formatCode="\₱#,##0"/>
    <numFmt numFmtId="167" formatCode="\₱#,##0;[Red]\(\₱#,##0\);\-"/>
    <numFmt numFmtId="168" formatCode="\₱#,##0.00"/>
  </numFmts>
  <fonts count="4">
    <font>
      <sz val="11"/>
      <name val="Carlito"/>
    </font>
    <font>
      <b/>
      <sz val="13"/>
      <color rgb="FFFFFFFF"/>
      <name val="Carlito"/>
    </font>
    <font>
      <b/>
      <sz val="11"/>
      <name val="Carlito"/>
    </font>
    <font>
      <sz val="11"/>
      <color rgb="FF0000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 applyAlignment="1">
      <alignment wrapText="1"/>
    </xf>
    <xf numFmtId="0" fontId="3" fillId="4" borderId="0" xfId="0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166" fontId="3" fillId="4" borderId="0" xfId="0" applyNumberFormat="1" applyFont="1" applyFill="1" applyAlignment="1">
      <alignment horizontal="right"/>
    </xf>
    <xf numFmtId="167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3" fontId="0" fillId="0" borderId="0" xfId="0" applyNumberFormat="1"/>
    <xf numFmtId="168" fontId="0" fillId="0" borderId="0" xfId="0" applyNumberFormat="1"/>
    <xf numFmtId="166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selection activeCell="A17" sqref="A17"/>
    </sheetView>
  </sheetViews>
  <sheetFormatPr defaultRowHeight="13.8"/>
  <cols>
    <col min="1" max="1" width="54.8984375" customWidth="1"/>
    <col min="2" max="2" width="18.8984375" customWidth="1"/>
    <col min="3" max="3" width="52" customWidth="1"/>
  </cols>
  <sheetData>
    <row r="1" spans="1:6" ht="16.8">
      <c r="A1" s="18" t="s">
        <v>40</v>
      </c>
      <c r="B1" s="18"/>
      <c r="C1" s="18"/>
      <c r="D1" s="18"/>
      <c r="E1" s="18"/>
      <c r="F1" s="18"/>
    </row>
    <row r="3" spans="1:6">
      <c r="A3" s="3" t="s">
        <v>41</v>
      </c>
      <c r="B3" s="3" t="s">
        <v>2</v>
      </c>
      <c r="C3" s="3" t="s">
        <v>42</v>
      </c>
    </row>
    <row r="4" spans="1:6">
      <c r="A4" s="4" t="s">
        <v>43</v>
      </c>
      <c r="B4" s="10">
        <f>'Consumer Inputs'!B11+'Consumer Inputs'!B12+'Consumer Inputs'!B16</f>
        <v>26000</v>
      </c>
      <c r="C4" s="5" t="s">
        <v>44</v>
      </c>
    </row>
    <row r="5" spans="1:6">
      <c r="A5" s="4" t="s">
        <v>45</v>
      </c>
      <c r="B5" s="10">
        <f>'Consumer Cash Flow'!F5</f>
        <v>23753.154634999999</v>
      </c>
      <c r="C5" s="5" t="s">
        <v>46</v>
      </c>
    </row>
    <row r="6" spans="1:6">
      <c r="A6" s="4" t="s">
        <v>47</v>
      </c>
      <c r="B6" s="10">
        <f>'Consumer Cash Flow'!G5</f>
        <v>18874.35168558954</v>
      </c>
      <c r="C6" s="5" t="s">
        <v>48</v>
      </c>
    </row>
    <row r="7" spans="1:6">
      <c r="A7" s="4" t="s">
        <v>49</v>
      </c>
      <c r="B7" s="10">
        <f>'Consumer Cash Flow'!E5</f>
        <v>464.43116540000005</v>
      </c>
      <c r="C7" s="5" t="s">
        <v>50</v>
      </c>
    </row>
    <row r="8" spans="1:6">
      <c r="A8" s="4" t="s">
        <v>51</v>
      </c>
      <c r="B8" s="10">
        <f>'Consumer Cash Flow'!F5-'Consumer Cash Flow'!G5</f>
        <v>4878.8029494104594</v>
      </c>
      <c r="C8" s="5" t="s">
        <v>52</v>
      </c>
    </row>
    <row r="9" spans="1:6">
      <c r="A9" s="4" t="s">
        <v>53</v>
      </c>
      <c r="B9" s="10">
        <f>'Consumer Inputs'!B13</f>
        <v>1389.4</v>
      </c>
      <c r="C9" s="5" t="s">
        <v>54</v>
      </c>
    </row>
    <row r="10" spans="1:6" ht="27.6">
      <c r="A10" s="4" t="s">
        <v>55</v>
      </c>
      <c r="B10" s="12">
        <f>'Consumer Cash Flow'!I5</f>
        <v>3489.4029494104593</v>
      </c>
      <c r="C10" s="5" t="s">
        <v>56</v>
      </c>
    </row>
    <row r="11" spans="1:6">
      <c r="A11" s="4" t="s">
        <v>57</v>
      </c>
      <c r="B11" s="11">
        <f>IF(B9&gt;0,B4/B9,"Not recovered")</f>
        <v>18.713113574204691</v>
      </c>
      <c r="C11" s="5" t="s">
        <v>58</v>
      </c>
    </row>
    <row r="12" spans="1:6" ht="27.6">
      <c r="A12" s="4" t="s">
        <v>59</v>
      </c>
      <c r="B12" s="11" t="str">
        <f>IFERROR(INDEX('Consumer Cash Flow'!A5:A14,MATCH(TRUE,'Consumer Cash Flow'!K5:K14&gt;=0,0)),"Not recovered")</f>
        <v>Not recovered</v>
      </c>
      <c r="C12" s="5" t="s">
        <v>60</v>
      </c>
    </row>
    <row r="13" spans="1:6">
      <c r="A13" s="4" t="s">
        <v>61</v>
      </c>
      <c r="B13" s="11">
        <f>IF(B4&gt;0,(SUM('Consumer Cash Flow'!I5:I7)+'Consumer Inputs'!B15-B4)/B4,0)</f>
        <v>-0.53209458898303708</v>
      </c>
      <c r="C13" s="5" t="s">
        <v>62</v>
      </c>
    </row>
    <row r="14" spans="1:6">
      <c r="A14" s="4" t="s">
        <v>63</v>
      </c>
      <c r="B14" s="10">
        <f>IF(B4&gt;0,(SUM('Consumer Cash Flow'!I5:I9)+'Consumer Inputs'!B15-B4)/B4,0)</f>
        <v>-9.4377672406467286E-2</v>
      </c>
      <c r="C14" s="5" t="s">
        <v>64</v>
      </c>
    </row>
    <row r="15" spans="1:6">
      <c r="A15" s="4" t="s">
        <v>65</v>
      </c>
      <c r="B15" s="10">
        <f>IF(B4&gt;0,(SUM('Consumer Cash Flow'!I5:I14)+'Consumer Inputs'!B15-B4)/B4,0)</f>
        <v>1.6307666754765904</v>
      </c>
      <c r="C15" s="5" t="s">
        <v>66</v>
      </c>
    </row>
    <row r="16" spans="1:6">
      <c r="A16" s="4" t="s">
        <v>67</v>
      </c>
      <c r="B16" s="10">
        <f>SUM('Consumer Cash Flow'!J4:J14)</f>
        <v>-2290.745274914213</v>
      </c>
      <c r="C16" s="5" t="s">
        <v>68</v>
      </c>
    </row>
    <row r="17" spans="1:3">
      <c r="A17" s="4" t="s">
        <v>69</v>
      </c>
      <c r="B17" s="10">
        <f>'Depreciation Schedule'!B5</f>
        <v>2166.6666666666665</v>
      </c>
      <c r="C17" s="5" t="s">
        <v>70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zoomScale="90" zoomScaleNormal="90" workbookViewId="0">
      <selection activeCell="A28" sqref="A28"/>
    </sheetView>
  </sheetViews>
  <sheetFormatPr defaultRowHeight="13.8"/>
  <cols>
    <col min="1" max="1" width="62.8984375" customWidth="1"/>
    <col min="2" max="2" width="16.296875" customWidth="1"/>
    <col min="3" max="3" width="14.796875" customWidth="1"/>
    <col min="4" max="4" width="52" customWidth="1"/>
  </cols>
  <sheetData>
    <row r="1" spans="1:4" ht="16.8">
      <c r="A1" s="18" t="s">
        <v>0</v>
      </c>
      <c r="B1" s="18"/>
      <c r="C1" s="18"/>
      <c r="D1" s="18"/>
    </row>
    <row r="3" spans="1:4">
      <c r="A3" s="3" t="s">
        <v>1</v>
      </c>
      <c r="B3" s="3" t="s">
        <v>2</v>
      </c>
      <c r="C3" s="3" t="s">
        <v>3</v>
      </c>
      <c r="D3" s="3" t="s">
        <v>126</v>
      </c>
    </row>
    <row r="4" spans="1:4" ht="27.6" hidden="1">
      <c r="A4" s="4" t="s">
        <v>4</v>
      </c>
      <c r="B4" s="6">
        <v>12</v>
      </c>
      <c r="C4" t="s">
        <v>5</v>
      </c>
      <c r="D4" s="5" t="s">
        <v>6</v>
      </c>
    </row>
    <row r="5" spans="1:4" ht="27.6">
      <c r="A5" s="4" t="s">
        <v>7</v>
      </c>
      <c r="B5" s="7">
        <v>10.504899999999999</v>
      </c>
      <c r="C5" t="s">
        <v>8</v>
      </c>
      <c r="D5" s="5" t="s">
        <v>9</v>
      </c>
    </row>
    <row r="6" spans="1:4">
      <c r="A6" s="4" t="s">
        <v>10</v>
      </c>
      <c r="B6" s="8">
        <v>0.09</v>
      </c>
      <c r="C6" t="s">
        <v>11</v>
      </c>
      <c r="D6" s="5" t="s">
        <v>12</v>
      </c>
    </row>
    <row r="7" spans="1:4" hidden="1">
      <c r="A7" s="4" t="s">
        <v>13</v>
      </c>
      <c r="B7" s="8">
        <v>0.2</v>
      </c>
      <c r="C7" t="s">
        <v>11</v>
      </c>
      <c r="D7" s="5" t="s">
        <v>14</v>
      </c>
    </row>
    <row r="8" spans="1:4" ht="41.4">
      <c r="A8" s="4" t="s">
        <v>15</v>
      </c>
      <c r="B8" s="6">
        <v>2261.15</v>
      </c>
      <c r="C8" t="s">
        <v>16</v>
      </c>
      <c r="D8" s="5" t="s">
        <v>17</v>
      </c>
    </row>
    <row r="9" spans="1:4" ht="27.6">
      <c r="A9" s="4" t="s">
        <v>18</v>
      </c>
      <c r="B9" s="8">
        <v>0.02</v>
      </c>
      <c r="C9" t="s">
        <v>11</v>
      </c>
      <c r="D9" s="5" t="s">
        <v>19</v>
      </c>
    </row>
    <row r="10" spans="1:4" ht="27.6">
      <c r="A10" s="4" t="s">
        <v>20</v>
      </c>
      <c r="B10" s="8">
        <v>0.205396</v>
      </c>
      <c r="C10" t="s">
        <v>21</v>
      </c>
      <c r="D10" s="5" t="s">
        <v>22</v>
      </c>
    </row>
    <row r="11" spans="1:4" ht="27.6">
      <c r="A11" s="4" t="s">
        <v>23</v>
      </c>
      <c r="B11" s="9">
        <v>26000</v>
      </c>
      <c r="C11" t="s">
        <v>24</v>
      </c>
      <c r="D11" s="5" t="s">
        <v>25</v>
      </c>
    </row>
    <row r="12" spans="1:4" ht="27.6">
      <c r="A12" s="4" t="s">
        <v>26</v>
      </c>
      <c r="B12" s="9">
        <v>0</v>
      </c>
      <c r="C12" t="s">
        <v>24</v>
      </c>
      <c r="D12" s="5" t="s">
        <v>27</v>
      </c>
    </row>
    <row r="13" spans="1:4">
      <c r="A13" s="4" t="s">
        <v>127</v>
      </c>
      <c r="B13" s="9">
        <v>1389.4</v>
      </c>
      <c r="C13" t="s">
        <v>28</v>
      </c>
      <c r="D13" s="5" t="s">
        <v>29</v>
      </c>
    </row>
    <row r="14" spans="1:4" ht="27.6" hidden="1">
      <c r="A14" s="4" t="s">
        <v>30</v>
      </c>
      <c r="B14" s="9">
        <v>0</v>
      </c>
      <c r="C14" t="s">
        <v>28</v>
      </c>
      <c r="D14" s="5" t="s">
        <v>31</v>
      </c>
    </row>
    <row r="15" spans="1:4" ht="27.6" hidden="1">
      <c r="A15" s="4" t="s">
        <v>32</v>
      </c>
      <c r="B15" s="9">
        <v>0</v>
      </c>
      <c r="C15" t="s">
        <v>24</v>
      </c>
      <c r="D15" s="5" t="s">
        <v>33</v>
      </c>
    </row>
    <row r="16" spans="1:4" hidden="1">
      <c r="A16" s="4" t="s">
        <v>34</v>
      </c>
      <c r="B16" s="9">
        <v>0</v>
      </c>
      <c r="C16" t="s">
        <v>24</v>
      </c>
      <c r="D16" s="5" t="s">
        <v>35</v>
      </c>
    </row>
    <row r="17" spans="1:4">
      <c r="A17" s="4" t="s">
        <v>36</v>
      </c>
      <c r="B17" s="6">
        <v>12</v>
      </c>
      <c r="C17" t="s">
        <v>5</v>
      </c>
      <c r="D17" s="5" t="s">
        <v>37</v>
      </c>
    </row>
    <row r="18" spans="1:4" ht="27.6">
      <c r="A18" s="4" t="s">
        <v>38</v>
      </c>
      <c r="B18" s="6">
        <v>0</v>
      </c>
      <c r="C18" t="s">
        <v>24</v>
      </c>
      <c r="D18" s="5" t="s">
        <v>39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zoomScale="90" zoomScaleNormal="90" workbookViewId="0">
      <selection activeCell="H24" sqref="H24"/>
    </sheetView>
  </sheetViews>
  <sheetFormatPr defaultRowHeight="13.8"/>
  <cols>
    <col min="1" max="1" width="20.59765625" customWidth="1"/>
    <col min="2" max="2" width="19.796875" customWidth="1"/>
    <col min="3" max="3" width="20.09765625" customWidth="1"/>
    <col min="4" max="4" width="17" customWidth="1"/>
    <col min="5" max="5" width="16.796875" customWidth="1"/>
    <col min="6" max="7" width="17.5" customWidth="1"/>
    <col min="8" max="8" width="21.5" customWidth="1"/>
    <col min="9" max="9" width="17.5" customWidth="1"/>
    <col min="10" max="10" width="17.5" hidden="1" customWidth="1"/>
    <col min="11" max="11" width="24.09765625" customWidth="1"/>
  </cols>
  <sheetData>
    <row r="1" spans="1:11" ht="16.8">
      <c r="A1" s="18" t="s">
        <v>71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3" spans="1:11">
      <c r="A3" s="3" t="s">
        <v>72</v>
      </c>
      <c r="B3" s="3" t="s">
        <v>7</v>
      </c>
      <c r="C3" s="3" t="s">
        <v>73</v>
      </c>
      <c r="D3" s="3" t="s">
        <v>74</v>
      </c>
      <c r="E3" s="3" t="s">
        <v>75</v>
      </c>
      <c r="F3" s="3" t="s">
        <v>76</v>
      </c>
      <c r="G3" s="3" t="s">
        <v>77</v>
      </c>
      <c r="H3" s="3" t="s">
        <v>78</v>
      </c>
      <c r="I3" s="3" t="s">
        <v>79</v>
      </c>
      <c r="J3" s="3" t="s">
        <v>80</v>
      </c>
      <c r="K3" s="3" t="s">
        <v>81</v>
      </c>
    </row>
    <row r="4" spans="1:11">
      <c r="A4">
        <v>0</v>
      </c>
      <c r="B4" s="13">
        <v>0</v>
      </c>
      <c r="C4" s="14" t="s">
        <v>82</v>
      </c>
      <c r="D4" s="14" t="s">
        <v>82</v>
      </c>
      <c r="E4" s="14" t="s">
        <v>82</v>
      </c>
      <c r="F4" s="10" t="s">
        <v>82</v>
      </c>
      <c r="G4" s="10" t="s">
        <v>82</v>
      </c>
      <c r="H4" s="10" t="s">
        <v>82</v>
      </c>
      <c r="I4" s="10">
        <f>-('Consumer Inputs'!B11+'Consumer Inputs'!B12+'Consumer Inputs'!B16)</f>
        <v>-26000</v>
      </c>
      <c r="J4" s="10">
        <f>I4</f>
        <v>-26000</v>
      </c>
      <c r="K4" s="10">
        <f>J4</f>
        <v>-26000</v>
      </c>
    </row>
    <row r="5" spans="1:11">
      <c r="A5">
        <v>1</v>
      </c>
      <c r="B5" s="13">
        <f>'Consumer Inputs'!$B$5*(1+'Consumer Inputs'!$B$6)^(A5-1)</f>
        <v>10.504899999999999</v>
      </c>
      <c r="C5" s="14">
        <f>'Consumer Inputs'!$B$8*(1+'Consumer Inputs'!$B$9)^(A5-1)</f>
        <v>2261.15</v>
      </c>
      <c r="D5" s="14">
        <f>C5*(1-'Consumer Inputs'!$B$10)</f>
        <v>1796.7188346</v>
      </c>
      <c r="E5" s="14">
        <f t="shared" ref="E5:E14" si="0">C5-D5</f>
        <v>464.43116540000005</v>
      </c>
      <c r="F5" s="10">
        <f t="shared" ref="F5:F14" si="1">C5*B5</f>
        <v>23753.154634999999</v>
      </c>
      <c r="G5" s="10">
        <f t="shared" ref="G5:G14" si="2">D5*B5</f>
        <v>18874.35168558954</v>
      </c>
      <c r="H5" s="10">
        <f>'Consumer Inputs'!$B$13</f>
        <v>1389.4</v>
      </c>
      <c r="I5" s="10">
        <f>(F5-G5)-H5+'Consumer Inputs'!$B$14</f>
        <v>3489.4029494104593</v>
      </c>
      <c r="J5" s="10">
        <f>I5/(1+'Consumer Inputs'!$B$7)^A5</f>
        <v>2907.8357911753828</v>
      </c>
      <c r="K5" s="10">
        <f t="shared" ref="K5:K14" si="3">K4+I5</f>
        <v>-22510.597050589542</v>
      </c>
    </row>
    <row r="6" spans="1:11">
      <c r="A6">
        <v>2</v>
      </c>
      <c r="B6" s="13">
        <f>'Consumer Inputs'!$B$5*(1+'Consumer Inputs'!$B$6)^(A6-1)</f>
        <v>11.450341</v>
      </c>
      <c r="C6" s="14">
        <f>'Consumer Inputs'!$B$8*(1+'Consumer Inputs'!$B$9)^(A6-1)</f>
        <v>2306.373</v>
      </c>
      <c r="D6" s="14">
        <f>C6*(1-'Consumer Inputs'!$B$10)</f>
        <v>1832.6532112919999</v>
      </c>
      <c r="E6" s="14">
        <f t="shared" si="0"/>
        <v>473.71978870800012</v>
      </c>
      <c r="F6" s="10">
        <f>C6*B6</f>
        <v>26408.757323193</v>
      </c>
      <c r="G6" s="10">
        <f t="shared" si="2"/>
        <v>20984.504204038451</v>
      </c>
      <c r="H6" s="10">
        <f>'Consumer Inputs'!$B$13</f>
        <v>1389.4</v>
      </c>
      <c r="I6" s="10">
        <f>(F6-G6)-H6+'Consumer Inputs'!$B$14</f>
        <v>4034.8531191545494</v>
      </c>
      <c r="J6" s="10">
        <f>I6/(1+'Consumer Inputs'!$B$7)^A6</f>
        <v>2801.9813327462148</v>
      </c>
      <c r="K6" s="10">
        <f t="shared" si="3"/>
        <v>-18475.743931434994</v>
      </c>
    </row>
    <row r="7" spans="1:11">
      <c r="A7">
        <v>3</v>
      </c>
      <c r="B7" s="13">
        <f>'Consumer Inputs'!$B$5*(1+'Consumer Inputs'!$B$6)^(A7-1)</f>
        <v>12.480871690000001</v>
      </c>
      <c r="C7" s="14">
        <f>'Consumer Inputs'!$B$8*(1+'Consumer Inputs'!$B$9)^(A7-1)</f>
        <v>2352.5004600000002</v>
      </c>
      <c r="D7" s="14">
        <f>C7*(1-'Consumer Inputs'!$B$10)</f>
        <v>1869.30627551784</v>
      </c>
      <c r="E7" s="14">
        <f t="shared" si="0"/>
        <v>483.19418448216015</v>
      </c>
      <c r="F7" s="10">
        <f t="shared" si="1"/>
        <v>29361.256391925981</v>
      </c>
      <c r="G7" s="10">
        <f t="shared" si="2"/>
        <v>23330.571774049953</v>
      </c>
      <c r="H7" s="10">
        <f>'Consumer Inputs'!$B$13</f>
        <v>1389.4</v>
      </c>
      <c r="I7" s="10">
        <f>(F7-G7)-H7+'Consumer Inputs'!$B$14</f>
        <v>4641.2846178760283</v>
      </c>
      <c r="J7" s="10">
        <f>I7/(1+'Consumer Inputs'!$B$7)^A7</f>
        <v>2685.9285983078867</v>
      </c>
      <c r="K7" s="10">
        <f t="shared" si="3"/>
        <v>-13834.459313558966</v>
      </c>
    </row>
    <row r="8" spans="1:11">
      <c r="A8">
        <v>4</v>
      </c>
      <c r="B8" s="13">
        <f>'Consumer Inputs'!$B$5*(1+'Consumer Inputs'!$B$6)^(A8-1)</f>
        <v>13.604150142100002</v>
      </c>
      <c r="C8" s="14">
        <f>'Consumer Inputs'!$B$8*(1+'Consumer Inputs'!$B$9)^(A8-1)</f>
        <v>2399.5504692</v>
      </c>
      <c r="D8" s="14">
        <f>C8*(1-'Consumer Inputs'!$B$10)</f>
        <v>1906.6924010281966</v>
      </c>
      <c r="E8" s="14">
        <f t="shared" si="0"/>
        <v>492.85806817180332</v>
      </c>
      <c r="F8" s="10">
        <f t="shared" si="1"/>
        <v>32643.844856543306</v>
      </c>
      <c r="G8" s="10">
        <f t="shared" si="2"/>
        <v>25938.929698388736</v>
      </c>
      <c r="H8" s="10">
        <f>'Consumer Inputs'!$B$13</f>
        <v>1389.4</v>
      </c>
      <c r="I8" s="10">
        <f>(F8-G8)-H8+'Consumer Inputs'!$B$14</f>
        <v>5315.5151581545706</v>
      </c>
      <c r="J8" s="10">
        <f>I8/(1+'Consumer Inputs'!$B$7)^A8</f>
        <v>2563.4235909310237</v>
      </c>
      <c r="K8" s="10">
        <f t="shared" si="3"/>
        <v>-8518.9441554043951</v>
      </c>
    </row>
    <row r="9" spans="1:11">
      <c r="A9">
        <v>5</v>
      </c>
      <c r="B9" s="13">
        <f>'Consumer Inputs'!$B$5*(1+'Consumer Inputs'!$B$6)^(A9-1)</f>
        <v>14.828523654889002</v>
      </c>
      <c r="C9" s="14">
        <f>'Consumer Inputs'!$B$8*(1+'Consumer Inputs'!$B$9)^(A9-1)</f>
        <v>2447.5414785839998</v>
      </c>
      <c r="D9" s="14">
        <f>C9*(1-'Consumer Inputs'!$B$10)</f>
        <v>1944.8262490487605</v>
      </c>
      <c r="E9" s="14">
        <f t="shared" si="0"/>
        <v>502.71522953523936</v>
      </c>
      <c r="F9" s="10">
        <f t="shared" si="1"/>
        <v>36293.426711504842</v>
      </c>
      <c r="G9" s="10">
        <f t="shared" si="2"/>
        <v>28838.902038668595</v>
      </c>
      <c r="H9" s="10">
        <f>'Consumer Inputs'!$B$13</f>
        <v>1389.4</v>
      </c>
      <c r="I9" s="10">
        <f>(F9-G9)-H9+'Consumer Inputs'!$B$14</f>
        <v>6065.1246728362476</v>
      </c>
      <c r="J9" s="10">
        <f>I9/(1+'Consumer Inputs'!$B$7)^A9</f>
        <v>2437.4375774965629</v>
      </c>
      <c r="K9" s="10">
        <f t="shared" si="3"/>
        <v>-2453.8194825681476</v>
      </c>
    </row>
    <row r="10" spans="1:11">
      <c r="A10">
        <v>6</v>
      </c>
      <c r="B10" s="13">
        <f>'Consumer Inputs'!$B$5*(1+'Consumer Inputs'!$B$6)^(A10-1)</f>
        <v>16.163090783829013</v>
      </c>
      <c r="C10" s="14">
        <f>'Consumer Inputs'!$B$8*(1+'Consumer Inputs'!$B$9)^(A10-1)</f>
        <v>2496.4923081556803</v>
      </c>
      <c r="D10" s="14">
        <f>C10*(1-'Consumer Inputs'!$B$10)</f>
        <v>1983.7227740297362</v>
      </c>
      <c r="E10" s="14">
        <f t="shared" si="0"/>
        <v>512.76953412594412</v>
      </c>
      <c r="F10" s="10">
        <f t="shared" si="1"/>
        <v>40351.031817851093</v>
      </c>
      <c r="G10" s="10">
        <f t="shared" si="2"/>
        <v>32063.091286591753</v>
      </c>
      <c r="H10" s="10">
        <f>'Consumer Inputs'!$B$13</f>
        <v>1389.4</v>
      </c>
      <c r="I10" s="10">
        <f>(F10-G10)-H10+'Consumer Inputs'!$B$14</f>
        <v>6898.5405312593412</v>
      </c>
      <c r="J10" s="10">
        <f>I10/(1+'Consumer Inputs'!$B$7)^A10</f>
        <v>2310.3072659663753</v>
      </c>
      <c r="K10" s="10">
        <f t="shared" si="3"/>
        <v>4444.7210486911936</v>
      </c>
    </row>
    <row r="11" spans="1:11">
      <c r="A11">
        <v>7</v>
      </c>
      <c r="B11" s="13">
        <f>'Consumer Inputs'!$B$5*(1+'Consumer Inputs'!$B$6)^(A11-1)</f>
        <v>17.617768954373627</v>
      </c>
      <c r="C11" s="14">
        <f>'Consumer Inputs'!$B$8*(1+'Consumer Inputs'!$B$9)^(A11-1)</f>
        <v>2546.4221543187937</v>
      </c>
      <c r="D11" s="14">
        <f>C11*(1-'Consumer Inputs'!$B$10)</f>
        <v>2023.3972295103306</v>
      </c>
      <c r="E11" s="14">
        <f t="shared" si="0"/>
        <v>523.02492480846308</v>
      </c>
      <c r="F11" s="10">
        <f t="shared" si="1"/>
        <v>44862.277175086856</v>
      </c>
      <c r="G11" s="10">
        <f t="shared" si="2"/>
        <v>35647.744892432711</v>
      </c>
      <c r="H11" s="10">
        <f>'Consumer Inputs'!$B$13</f>
        <v>1389.4</v>
      </c>
      <c r="I11" s="10">
        <f>(F11-G11)-H11+'Consumer Inputs'!$B$14</f>
        <v>7825.1322826541455</v>
      </c>
      <c r="J11" s="10">
        <f>I11/(1+'Consumer Inputs'!$B$7)^A11</f>
        <v>2183.8508072643576</v>
      </c>
      <c r="K11" s="10">
        <f t="shared" si="3"/>
        <v>12269.853331345339</v>
      </c>
    </row>
    <row r="12" spans="1:11">
      <c r="A12">
        <v>8</v>
      </c>
      <c r="B12" s="13">
        <f>'Consumer Inputs'!$B$5*(1+'Consumer Inputs'!$B$6)^(A12-1)</f>
        <v>19.203368160267253</v>
      </c>
      <c r="C12" s="14">
        <f>'Consumer Inputs'!$B$8*(1+'Consumer Inputs'!$B$9)^(A12-1)</f>
        <v>2597.3505974051691</v>
      </c>
      <c r="D12" s="14">
        <f>C12*(1-'Consumer Inputs'!$B$10)</f>
        <v>2063.8651741005369</v>
      </c>
      <c r="E12" s="14">
        <f t="shared" si="0"/>
        <v>533.48542330463215</v>
      </c>
      <c r="F12" s="10">
        <f t="shared" si="1"/>
        <v>49877.879763261553</v>
      </c>
      <c r="G12" s="10">
        <f t="shared" si="2"/>
        <v>39633.162771406685</v>
      </c>
      <c r="H12" s="10">
        <f>'Consumer Inputs'!$B$13</f>
        <v>1389.4</v>
      </c>
      <c r="I12" s="10">
        <f>(F12-G12)-H12+'Consumer Inputs'!$B$14</f>
        <v>8855.3169918548683</v>
      </c>
      <c r="J12" s="10">
        <f>I12/(1+'Consumer Inputs'!$B$7)^A12</f>
        <v>2059.4637107191811</v>
      </c>
      <c r="K12" s="10">
        <f t="shared" si="3"/>
        <v>21125.170323200207</v>
      </c>
    </row>
    <row r="13" spans="1:11">
      <c r="A13">
        <v>9</v>
      </c>
      <c r="B13" s="13">
        <f>'Consumer Inputs'!$B$5*(1+'Consumer Inputs'!$B$6)^(A13-1)</f>
        <v>20.931671294691306</v>
      </c>
      <c r="C13" s="14">
        <f>'Consumer Inputs'!$B$8*(1+'Consumer Inputs'!$B$9)^(A13-1)</f>
        <v>2649.2976093532729</v>
      </c>
      <c r="D13" s="14">
        <f>C13*(1-'Consumer Inputs'!$B$10)</f>
        <v>2105.1424775825481</v>
      </c>
      <c r="E13" s="14">
        <f t="shared" si="0"/>
        <v>544.15513177072489</v>
      </c>
      <c r="F13" s="10">
        <f t="shared" si="1"/>
        <v>55454.226720794206</v>
      </c>
      <c r="G13" s="10">
        <f t="shared" si="2"/>
        <v>44064.150369249954</v>
      </c>
      <c r="H13" s="10">
        <f>'Consumer Inputs'!$B$13</f>
        <v>1389.4</v>
      </c>
      <c r="I13" s="10">
        <f>(F13-G13)-H13+'Consumer Inputs'!$B$14</f>
        <v>10000.676351544253</v>
      </c>
      <c r="J13" s="10">
        <f>I13/(1+'Consumer Inputs'!$B$7)^A13</f>
        <v>1938.1980761386205</v>
      </c>
      <c r="K13" s="10">
        <f t="shared" si="3"/>
        <v>31125.846674744462</v>
      </c>
    </row>
    <row r="14" spans="1:11">
      <c r="A14">
        <v>10</v>
      </c>
      <c r="B14" s="13">
        <f>'Consumer Inputs'!$B$5*(1+'Consumer Inputs'!$B$6)^(A14-1)</f>
        <v>22.815521711213524</v>
      </c>
      <c r="C14" s="14">
        <f>'Consumer Inputs'!$B$8*(1+'Consumer Inputs'!$B$9)^(A14-1)</f>
        <v>2702.2835615403383</v>
      </c>
      <c r="D14" s="14">
        <f>C14*(1-'Consumer Inputs'!$B$10)</f>
        <v>2147.2453271341988</v>
      </c>
      <c r="E14" s="14">
        <f t="shared" si="0"/>
        <v>555.03823440613951</v>
      </c>
      <c r="F14" s="10">
        <f t="shared" si="1"/>
        <v>61654.009268178997</v>
      </c>
      <c r="G14" s="10">
        <f t="shared" si="2"/>
        <v>48990.5223805321</v>
      </c>
      <c r="H14" s="10">
        <f>'Consumer Inputs'!$B$13</f>
        <v>1389.4</v>
      </c>
      <c r="I14" s="10">
        <f>(F14-G14)-H14+'Consumer Inputs'!$B$14</f>
        <v>11274.086887646898</v>
      </c>
      <c r="J14" s="10">
        <f>I14/(1+'Consumer Inputs'!$B$7)^A14</f>
        <v>1820.827974340179</v>
      </c>
      <c r="K14" s="10">
        <f t="shared" si="3"/>
        <v>42399.933562391358</v>
      </c>
    </row>
    <row r="15" spans="1:11">
      <c r="A15">
        <v>11</v>
      </c>
      <c r="B15" s="13">
        <f>'Consumer Inputs'!$B$5*(1+'Consumer Inputs'!$B$6)^(A15-1)</f>
        <v>24.868918665222747</v>
      </c>
      <c r="C15" s="14">
        <f>'Consumer Inputs'!$B$8*(1+'Consumer Inputs'!$B$9)^(A15-1)</f>
        <v>2756.3292327711451</v>
      </c>
      <c r="D15" s="14">
        <f>C15*(1-'Consumer Inputs'!$B$10)</f>
        <v>2190.1902336768831</v>
      </c>
      <c r="E15" s="14">
        <f t="shared" ref="E15" si="4">C15-D15</f>
        <v>566.13899909426209</v>
      </c>
      <c r="F15" s="10">
        <f t="shared" ref="F15:F16" si="5">C15*B15</f>
        <v>68546.927504361418</v>
      </c>
      <c r="G15" s="10">
        <f t="shared" ref="G15:G16" si="6">D15*B15</f>
        <v>54467.662782675608</v>
      </c>
      <c r="H15" s="10">
        <f>'Consumer Inputs'!$B$13</f>
        <v>1389.4</v>
      </c>
      <c r="I15" s="10">
        <f>(F15-G15)-H15+'Consumer Inputs'!$B$14</f>
        <v>12689.86472168581</v>
      </c>
      <c r="J15" s="10">
        <f>I15/(1+'Consumer Inputs'!$B$7)^A15</f>
        <v>1707.9033322242974</v>
      </c>
      <c r="K15" s="10">
        <f t="shared" ref="K15:K16" si="7">K14+I15</f>
        <v>55089.798284077166</v>
      </c>
    </row>
    <row r="16" spans="1:11">
      <c r="A16">
        <v>12</v>
      </c>
      <c r="B16" s="13">
        <f>'Consumer Inputs'!$B$5*(1+'Consumer Inputs'!$B$6)^(A16-1)</f>
        <v>27.107121345092793</v>
      </c>
      <c r="C16" s="14">
        <f>'Consumer Inputs'!$B$8*(1+'Consumer Inputs'!$B$9)^(A16-1)</f>
        <v>2811.4558174265676</v>
      </c>
      <c r="D16" s="14">
        <f>C16*(1-'Consumer Inputs'!$B$10)</f>
        <v>2233.9940383504204</v>
      </c>
      <c r="E16" s="14">
        <f>C16-D16</f>
        <v>577.4617790761472</v>
      </c>
      <c r="F16" s="10">
        <f t="shared" si="5"/>
        <v>76210.473999349022</v>
      </c>
      <c r="G16" s="10">
        <f t="shared" si="6"/>
        <v>60557.147481778731</v>
      </c>
      <c r="H16" s="10">
        <f>'Consumer Inputs'!$B$13</f>
        <v>1389.4</v>
      </c>
      <c r="I16" s="10">
        <f>(F16-G16)-H16+'Consumer Inputs'!$B$14</f>
        <v>14263.926517570291</v>
      </c>
      <c r="J16" s="10">
        <f>I16/(1+'Consumer Inputs'!$B$7)^A16</f>
        <v>1599.7942823042483</v>
      </c>
      <c r="K16" s="10">
        <f t="shared" si="7"/>
        <v>69353.724801647462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tabSelected="1" workbookViewId="0">
      <selection activeCell="G19" sqref="G19"/>
    </sheetView>
  </sheetViews>
  <sheetFormatPr defaultRowHeight="13.8"/>
  <cols>
    <col min="1" max="1" width="13.296875" customWidth="1"/>
    <col min="2" max="2" width="2.69921875" hidden="1" customWidth="1"/>
    <col min="3" max="3" width="11.59765625" customWidth="1"/>
    <col min="4" max="4" width="16.8984375" customWidth="1"/>
    <col min="5" max="5" width="19.59765625" customWidth="1"/>
    <col min="6" max="6" width="17.8984375" customWidth="1"/>
    <col min="7" max="7" width="19.69921875" customWidth="1"/>
    <col min="8" max="8" width="14.59765625" customWidth="1"/>
  </cols>
  <sheetData>
    <row r="1" spans="1:8" ht="16.8">
      <c r="A1" s="18" t="s">
        <v>83</v>
      </c>
      <c r="B1" s="18"/>
      <c r="C1" s="18"/>
      <c r="D1" s="18"/>
      <c r="E1" s="18"/>
      <c r="F1" s="18"/>
      <c r="G1" s="18"/>
      <c r="H1" s="18"/>
    </row>
    <row r="3" spans="1:8">
      <c r="A3" s="3" t="s">
        <v>84</v>
      </c>
      <c r="B3" s="3" t="s">
        <v>85</v>
      </c>
      <c r="C3" s="3" t="s">
        <v>86</v>
      </c>
      <c r="D3" s="3" t="s">
        <v>7</v>
      </c>
      <c r="E3" s="3" t="s">
        <v>55</v>
      </c>
      <c r="F3" s="3" t="s">
        <v>87</v>
      </c>
      <c r="G3" s="3" t="s">
        <v>88</v>
      </c>
      <c r="H3" s="3" t="s">
        <v>128</v>
      </c>
    </row>
    <row r="4" spans="1:8" hidden="1">
      <c r="A4" t="s">
        <v>89</v>
      </c>
      <c r="B4" s="11">
        <v>1.2</v>
      </c>
      <c r="C4" s="11">
        <f>C5</f>
        <v>0.205396</v>
      </c>
      <c r="D4" s="15">
        <v>9.5</v>
      </c>
      <c r="E4" s="16">
        <f>('Consumer Inputs'!B8*C4*D4)-'Consumer Inputs'!B13</f>
        <v>3022.6960713000003</v>
      </c>
      <c r="F4" s="16">
        <f>('Consumer Inputs'!B11*B4)+'Consumer Inputs'!B12+'Consumer Inputs'!B16</f>
        <v>31200</v>
      </c>
      <c r="G4" s="17">
        <f>IF(E4&gt;0,F4/E4,"Not recovered")</f>
        <v>10.321911056900111</v>
      </c>
      <c r="H4" s="11">
        <f>IF(F4&gt;0,(E4*12+'Consumer Inputs'!B15-F4)/F4,0)</f>
        <v>0.1625754120384616</v>
      </c>
    </row>
    <row r="5" spans="1:8">
      <c r="A5" t="s">
        <v>90</v>
      </c>
      <c r="B5" s="11">
        <v>1</v>
      </c>
      <c r="C5" s="11">
        <f>'Consumer Inputs'!B10</f>
        <v>0.205396</v>
      </c>
      <c r="D5" s="15">
        <f>'Consumer Inputs'!B5</f>
        <v>10.504899999999999</v>
      </c>
      <c r="E5" s="16">
        <f>('Consumer Inputs'!B8*C5*D5)-'Consumer Inputs'!B13</f>
        <v>3489.4029494104593</v>
      </c>
      <c r="F5" s="16">
        <f>('Consumer Inputs'!B11*B5)+'Consumer Inputs'!B12+'Consumer Inputs'!B16</f>
        <v>26000</v>
      </c>
      <c r="G5" s="17">
        <f>IF(E5&gt;0,F5/E5,"Not recovered")</f>
        <v>7.4511314333567427</v>
      </c>
      <c r="H5" s="11">
        <f>IF(F5&gt;0,(E5*12+'Consumer Inputs'!B16-F5)/F5,0)</f>
        <v>0.61049366895867341</v>
      </c>
    </row>
    <row r="6" spans="1:8" hidden="1">
      <c r="A6" t="s">
        <v>91</v>
      </c>
      <c r="B6" s="11">
        <v>0.9</v>
      </c>
      <c r="C6" s="11">
        <f>C5</f>
        <v>0.205396</v>
      </c>
      <c r="D6" s="15">
        <v>12</v>
      </c>
      <c r="E6" s="16">
        <f>('Consumer Inputs'!B8*C6*D6)-'Consumer Inputs'!B13</f>
        <v>4183.7739848000001</v>
      </c>
      <c r="F6" s="16">
        <f>('Consumer Inputs'!B11*B6)+'Consumer Inputs'!B12+'Consumer Inputs'!B16</f>
        <v>23400</v>
      </c>
      <c r="G6" s="17">
        <f>IF(E6&gt;0,F6/E6,"Not recovered")</f>
        <v>5.5930363554566167</v>
      </c>
      <c r="H6" s="11">
        <f>IF(F6&gt;0,(E6*12+'Consumer Inputs'!B17-F6)/F6,0)</f>
        <v>1.146037940923077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>
      <selection activeCell="C8" sqref="C8"/>
    </sheetView>
  </sheetViews>
  <sheetFormatPr defaultRowHeight="13.8"/>
  <cols>
    <col min="1" max="1" width="68.59765625" customWidth="1"/>
    <col min="2" max="2" width="14.59765625" customWidth="1"/>
    <col min="3" max="3" width="11.8984375" customWidth="1"/>
    <col min="4" max="4" width="13.09765625" customWidth="1"/>
    <col min="5" max="5" width="17.3984375" customWidth="1"/>
    <col min="6" max="6" width="17.59765625" customWidth="1"/>
  </cols>
  <sheetData>
    <row r="1" spans="1:6" ht="16.8">
      <c r="A1" s="18" t="s">
        <v>92</v>
      </c>
      <c r="B1" s="18"/>
      <c r="C1" s="18"/>
      <c r="D1" s="18"/>
      <c r="E1" s="18"/>
      <c r="F1" s="18"/>
    </row>
    <row r="3" spans="1:6">
      <c r="A3" s="3" t="s">
        <v>93</v>
      </c>
      <c r="B3" s="3">
        <v>8</v>
      </c>
      <c r="C3" s="3">
        <v>10</v>
      </c>
      <c r="D3" s="3">
        <v>12</v>
      </c>
      <c r="E3" s="3">
        <v>14</v>
      </c>
      <c r="F3" s="3">
        <v>16</v>
      </c>
    </row>
    <row r="4" spans="1:6">
      <c r="A4" s="11">
        <v>0.02</v>
      </c>
      <c r="B4" s="17" t="str">
        <f>IF(('Consumer Inputs'!$B$8*$A4*B$3)-'Consumer Inputs'!$B$13+'Consumer Inputs'!$B$14&gt;0,('Consumer Inputs'!$B$11+'Consumer Inputs'!$B$12+'Consumer Inputs'!$B$16)/(('Consumer Inputs'!$B$8*$A4*B$3)-'Consumer Inputs'!$B$13+'Consumer Inputs'!$B$14),"Not recovered")</f>
        <v>Not recovered</v>
      </c>
      <c r="C4" s="17" t="str">
        <f>IF(('Consumer Inputs'!$B$8*$A4*C$3)-'Consumer Inputs'!$B$13+'Consumer Inputs'!$B$14&gt;0,('Consumer Inputs'!$B$11+'Consumer Inputs'!$B$12+'Consumer Inputs'!$B$16)/(('Consumer Inputs'!$B$8*$A4*C$3)-'Consumer Inputs'!$B$13+'Consumer Inputs'!$B$14),"Not recovered")</f>
        <v>Not recovered</v>
      </c>
      <c r="D4" s="17" t="str">
        <f>IF(('Consumer Inputs'!$B$8*$A4*D$3)-'Consumer Inputs'!$B$13+'Consumer Inputs'!$B$14&gt;0,('Consumer Inputs'!$B$11+'Consumer Inputs'!$B$12+'Consumer Inputs'!$B$16)/(('Consumer Inputs'!$B$8*$A4*D$3)-'Consumer Inputs'!$B$13+'Consumer Inputs'!$B$14),"Not recovered")</f>
        <v>Not recovered</v>
      </c>
      <c r="E4" s="17" t="str">
        <f>IF(('Consumer Inputs'!$B$8*$A4*E$3)-'Consumer Inputs'!$B$13+'Consumer Inputs'!$B$14&gt;0,('Consumer Inputs'!$B$11+'Consumer Inputs'!$B$12+'Consumer Inputs'!$B$16)/(('Consumer Inputs'!$B$8*$A4*E$3)-'Consumer Inputs'!$B$13+'Consumer Inputs'!$B$14),"Not recovered")</f>
        <v>Not recovered</v>
      </c>
      <c r="F4" s="17" t="str">
        <f>IF(('Consumer Inputs'!$B$8*$A4*F$3)-'Consumer Inputs'!$B$13+'Consumer Inputs'!$B$14&gt;0,('Consumer Inputs'!$B$11+'Consumer Inputs'!$B$12+'Consumer Inputs'!$B$16)/(('Consumer Inputs'!$B$8*$A4*F$3)-'Consumer Inputs'!$B$13+'Consumer Inputs'!$B$14),"Not recovered")</f>
        <v>Not recovered</v>
      </c>
    </row>
    <row r="5" spans="1:6">
      <c r="A5" s="11">
        <v>0.04</v>
      </c>
      <c r="B5" s="17" t="str">
        <f>IF(('Consumer Inputs'!$B$8*$A5*B$3)-'Consumer Inputs'!$B$13+'Consumer Inputs'!$B$14&gt;0,('Consumer Inputs'!$B$11+'Consumer Inputs'!$B$12+'Consumer Inputs'!$B$16)/(('Consumer Inputs'!$B$8*$A5*B$3)-'Consumer Inputs'!$B$13+'Consumer Inputs'!$B$14),"Not recovered")</f>
        <v>Not recovered</v>
      </c>
      <c r="C5" s="17" t="str">
        <f>IF(('Consumer Inputs'!$B$8*$A5*C$3)-'Consumer Inputs'!$B$13+'Consumer Inputs'!$B$14&gt;0,('Consumer Inputs'!$B$11+'Consumer Inputs'!$B$12+'Consumer Inputs'!$B$16)/(('Consumer Inputs'!$B$8*$A5*C$3)-'Consumer Inputs'!$B$13+'Consumer Inputs'!$B$14),"Not recovered")</f>
        <v>Not recovered</v>
      </c>
      <c r="D5" s="17" t="str">
        <f>IF(('Consumer Inputs'!$B$8*$A5*D$3)-'Consumer Inputs'!$B$13+'Consumer Inputs'!$B$14&gt;0,('Consumer Inputs'!$B$11+'Consumer Inputs'!$B$12+'Consumer Inputs'!$B$16)/(('Consumer Inputs'!$B$8*$A5*D$3)-'Consumer Inputs'!$B$13+'Consumer Inputs'!$B$14),"Not recovered")</f>
        <v>Not recovered</v>
      </c>
      <c r="E5" s="17" t="str">
        <f>IF(('Consumer Inputs'!$B$8*$A5*E$3)-'Consumer Inputs'!$B$13+'Consumer Inputs'!$B$14&gt;0,('Consumer Inputs'!$B$11+'Consumer Inputs'!$B$12+'Consumer Inputs'!$B$16)/(('Consumer Inputs'!$B$8*$A5*E$3)-'Consumer Inputs'!$B$13+'Consumer Inputs'!$B$14),"Not recovered")</f>
        <v>Not recovered</v>
      </c>
      <c r="F5" s="17">
        <f>IF(('Consumer Inputs'!$B$8*$A5*F$3)-'Consumer Inputs'!$B$13+'Consumer Inputs'!$B$14&gt;0,('Consumer Inputs'!$B$11+'Consumer Inputs'!$B$12+'Consumer Inputs'!$B$16)/(('Consumer Inputs'!$B$8*$A5*F$3)-'Consumer Inputs'!$B$13+'Consumer Inputs'!$B$14),"Not recovered")</f>
        <v>450.32562006373757</v>
      </c>
    </row>
    <row r="6" spans="1:6">
      <c r="A6" s="11">
        <v>0.06</v>
      </c>
      <c r="B6" s="17" t="str">
        <f>IF(('Consumer Inputs'!$B$8*$A6*B$3)-'Consumer Inputs'!$B$13+'Consumer Inputs'!$B$14&gt;0,('Consumer Inputs'!$B$11+'Consumer Inputs'!$B$12+'Consumer Inputs'!$B$16)/(('Consumer Inputs'!$B$8*$A6*B$3)-'Consumer Inputs'!$B$13+'Consumer Inputs'!$B$14),"Not recovered")</f>
        <v>Not recovered</v>
      </c>
      <c r="C6" s="17" t="str">
        <f>IF(('Consumer Inputs'!$B$8*$A6*C$3)-'Consumer Inputs'!$B$13+'Consumer Inputs'!$B$14&gt;0,('Consumer Inputs'!$B$11+'Consumer Inputs'!$B$12+'Consumer Inputs'!$B$16)/(('Consumer Inputs'!$B$8*$A6*C$3)-'Consumer Inputs'!$B$13+'Consumer Inputs'!$B$14),"Not recovered")</f>
        <v>Not recovered</v>
      </c>
      <c r="D6" s="17">
        <f>IF(('Consumer Inputs'!$B$8*$A6*D$3)-'Consumer Inputs'!$B$13+'Consumer Inputs'!$B$14&gt;0,('Consumer Inputs'!$B$11+'Consumer Inputs'!$B$12+'Consumer Inputs'!$B$16)/(('Consumer Inputs'!$B$8*$A6*D$3)-'Consumer Inputs'!$B$13+'Consumer Inputs'!$B$14),"Not recovered")</f>
        <v>108.95619960775761</v>
      </c>
      <c r="E6" s="17">
        <f>IF(('Consumer Inputs'!$B$8*$A6*E$3)-'Consumer Inputs'!$B$13+'Consumer Inputs'!$B$14&gt;0,('Consumer Inputs'!$B$11+'Consumer Inputs'!$B$12+'Consumer Inputs'!$B$16)/(('Consumer Inputs'!$B$8*$A6*E$3)-'Consumer Inputs'!$B$13+'Consumer Inputs'!$B$14),"Not recovered")</f>
        <v>50.983791076267821</v>
      </c>
      <c r="F6" s="17">
        <f>IF(('Consumer Inputs'!$B$8*$A6*F$3)-'Consumer Inputs'!$B$13+'Consumer Inputs'!$B$14&gt;0,('Consumer Inputs'!$B$11+'Consumer Inputs'!$B$12+'Consumer Inputs'!$B$16)/(('Consumer Inputs'!$B$8*$A6*F$3)-'Consumer Inputs'!$B$13+'Consumer Inputs'!$B$14),"Not recovered")</f>
        <v>33.277699845386685</v>
      </c>
    </row>
    <row r="7" spans="1:6">
      <c r="A7" s="11">
        <v>0.08</v>
      </c>
      <c r="B7" s="17">
        <f>IF(('Consumer Inputs'!$B$8*$A7*B$3)-'Consumer Inputs'!$B$13+'Consumer Inputs'!$B$14&gt;0,('Consumer Inputs'!$B$11+'Consumer Inputs'!$B$12+'Consumer Inputs'!$B$16)/(('Consumer Inputs'!$B$8*$A7*B$3)-'Consumer Inputs'!$B$13+'Consumer Inputs'!$B$14),"Not recovered")</f>
        <v>450.32562006373757</v>
      </c>
      <c r="C7" s="17">
        <f>IF(('Consumer Inputs'!$B$8*$A7*C$3)-'Consumer Inputs'!$B$13+'Consumer Inputs'!$B$14&gt;0,('Consumer Inputs'!$B$11+'Consumer Inputs'!$B$12+'Consumer Inputs'!$B$16)/(('Consumer Inputs'!$B$8*$A7*C$3)-'Consumer Inputs'!$B$13+'Consumer Inputs'!$B$14),"Not recovered")</f>
        <v>61.975591151792493</v>
      </c>
      <c r="D7" s="17">
        <f>IF(('Consumer Inputs'!$B$8*$A7*D$3)-'Consumer Inputs'!$B$13+'Consumer Inputs'!$B$14&gt;0,('Consumer Inputs'!$B$11+'Consumer Inputs'!$B$12+'Consumer Inputs'!$B$16)/(('Consumer Inputs'!$B$8*$A7*D$3)-'Consumer Inputs'!$B$13+'Consumer Inputs'!$B$14),"Not recovered")</f>
        <v>33.277699845386685</v>
      </c>
      <c r="E7" s="17">
        <f>IF(('Consumer Inputs'!$B$8*$A7*E$3)-'Consumer Inputs'!$B$13+'Consumer Inputs'!$B$14&gt;0,('Consumer Inputs'!$B$11+'Consumer Inputs'!$B$12+'Consumer Inputs'!$B$16)/(('Consumer Inputs'!$B$8*$A7*E$3)-'Consumer Inputs'!$B$13+'Consumer Inputs'!$B$14),"Not recovered")</f>
        <v>22.745405428103521</v>
      </c>
      <c r="F7" s="17">
        <f>IF(('Consumer Inputs'!$B$8*$A7*F$3)-'Consumer Inputs'!$B$13+'Consumer Inputs'!$B$14&gt;0,('Consumer Inputs'!$B$11+'Consumer Inputs'!$B$12+'Consumer Inputs'!$B$16)/(('Consumer Inputs'!$B$8*$A7*F$3)-'Consumer Inputs'!$B$13+'Consumer Inputs'!$B$14),"Not recovered")</f>
        <v>17.277216932735804</v>
      </c>
    </row>
    <row r="8" spans="1:6">
      <c r="A8" s="11">
        <v>0.1</v>
      </c>
      <c r="B8" s="17">
        <f>IF(('Consumer Inputs'!$B$8*$A8*B$3)-'Consumer Inputs'!$B$13+'Consumer Inputs'!$B$14&gt;0,('Consumer Inputs'!$B$11+'Consumer Inputs'!$B$12+'Consumer Inputs'!$B$16)/(('Consumer Inputs'!$B$8*$A8*B$3)-'Consumer Inputs'!$B$13+'Consumer Inputs'!$B$14),"Not recovered")</f>
        <v>61.975591151792528</v>
      </c>
      <c r="C8" s="17">
        <f>IF(('Consumer Inputs'!$B$8*$A8*C$3)-'Consumer Inputs'!$B$13+'Consumer Inputs'!$B$14&gt;0,('Consumer Inputs'!$B$11+'Consumer Inputs'!$B$12+'Consumer Inputs'!$B$16)/(('Consumer Inputs'!$B$8*$A8*C$3)-'Consumer Inputs'!$B$13+'Consumer Inputs'!$B$14),"Not recovered")</f>
        <v>29.825064525379982</v>
      </c>
      <c r="D8" s="17">
        <f>IF(('Consumer Inputs'!$B$8*$A8*D$3)-'Consumer Inputs'!$B$13+'Consumer Inputs'!$B$14&gt;0,('Consumer Inputs'!$B$11+'Consumer Inputs'!$B$12+'Consumer Inputs'!$B$16)/(('Consumer Inputs'!$B$8*$A8*D$3)-'Consumer Inputs'!$B$13+'Consumer Inputs'!$B$14),"Not recovered")</f>
        <v>19.637758878532907</v>
      </c>
      <c r="E8" s="17">
        <f>IF(('Consumer Inputs'!$B$8*$A8*E$3)-'Consumer Inputs'!$B$13+'Consumer Inputs'!$B$14&gt;0,('Consumer Inputs'!$B$11+'Consumer Inputs'!$B$12+'Consumer Inputs'!$B$16)/(('Consumer Inputs'!$B$8*$A8*E$3)-'Consumer Inputs'!$B$13+'Consumer Inputs'!$B$14),"Not recovered")</f>
        <v>14.63790880582814</v>
      </c>
      <c r="F8" s="17">
        <f>IF(('Consumer Inputs'!$B$8*$A8*F$3)-'Consumer Inputs'!$B$13+'Consumer Inputs'!$B$14&gt;0,('Consumer Inputs'!$B$11+'Consumer Inputs'!$B$12+'Consumer Inputs'!$B$16)/(('Consumer Inputs'!$B$8*$A8*F$3)-'Consumer Inputs'!$B$13+'Consumer Inputs'!$B$14),"Not recovered")</f>
        <v>11.667354741433469</v>
      </c>
    </row>
    <row r="9" spans="1:6">
      <c r="A9" s="11">
        <v>0.12</v>
      </c>
      <c r="B9" s="17">
        <f>IF(('Consumer Inputs'!$B$8*$A9*B$3)-'Consumer Inputs'!$B$13+'Consumer Inputs'!$B$14&gt;0,('Consumer Inputs'!$B$11+'Consumer Inputs'!$B$12+'Consumer Inputs'!$B$16)/(('Consumer Inputs'!$B$8*$A9*B$3)-'Consumer Inputs'!$B$13+'Consumer Inputs'!$B$14),"Not recovered")</f>
        <v>33.277699845386685</v>
      </c>
      <c r="C9" s="17">
        <f>IF(('Consumer Inputs'!$B$8*$A9*C$3)-'Consumer Inputs'!$B$13+'Consumer Inputs'!$B$14&gt;0,('Consumer Inputs'!$B$11+'Consumer Inputs'!$B$12+'Consumer Inputs'!$B$16)/(('Consumer Inputs'!$B$8*$A9*C$3)-'Consumer Inputs'!$B$13+'Consumer Inputs'!$B$14),"Not recovered")</f>
        <v>19.637758878532907</v>
      </c>
      <c r="D9" s="17">
        <f>IF(('Consumer Inputs'!$B$8*$A9*D$3)-'Consumer Inputs'!$B$13+'Consumer Inputs'!$B$14&gt;0,('Consumer Inputs'!$B$11+'Consumer Inputs'!$B$12+'Consumer Inputs'!$B$16)/(('Consumer Inputs'!$B$8*$A9*D$3)-'Consumer Inputs'!$B$13+'Consumer Inputs'!$B$14),"Not recovered")</f>
        <v>13.928651020862974</v>
      </c>
      <c r="E9" s="17">
        <f>IF(('Consumer Inputs'!$B$8*$A9*E$3)-'Consumer Inputs'!$B$13+'Consumer Inputs'!$B$14&gt;0,('Consumer Inputs'!$B$11+'Consumer Inputs'!$B$12+'Consumer Inputs'!$B$16)/(('Consumer Inputs'!$B$8*$A9*E$3)-'Consumer Inputs'!$B$13+'Consumer Inputs'!$B$14),"Not recovered")</f>
        <v>10.791372878457596</v>
      </c>
      <c r="F9" s="17">
        <f>IF(('Consumer Inputs'!$B$8*$A9*F$3)-'Consumer Inputs'!$B$13+'Consumer Inputs'!$B$14&gt;0,('Consumer Inputs'!$B$11+'Consumer Inputs'!$B$12+'Consumer Inputs'!$B$16)/(('Consumer Inputs'!$B$8*$A9*F$3)-'Consumer Inputs'!$B$13+'Consumer Inputs'!$B$14),"Not recovered")</f>
        <v>8.80756420714307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workbookViewId="0">
      <selection activeCell="E21" sqref="E21"/>
    </sheetView>
  </sheetViews>
  <sheetFormatPr defaultRowHeight="13.8"/>
  <cols>
    <col min="1" max="1" width="58.3984375" customWidth="1"/>
    <col min="2" max="2" width="20.69921875" customWidth="1"/>
    <col min="3" max="3" width="23.796875" customWidth="1"/>
    <col min="4" max="4" width="15.796875" customWidth="1"/>
    <col min="5" max="5" width="48" customWidth="1"/>
  </cols>
  <sheetData>
    <row r="1" spans="1:5" ht="16.8">
      <c r="A1" s="18" t="s">
        <v>94</v>
      </c>
      <c r="B1" s="18"/>
      <c r="C1" s="18"/>
      <c r="D1" s="18"/>
      <c r="E1" s="18"/>
    </row>
    <row r="3" spans="1:5">
      <c r="A3" s="3" t="s">
        <v>72</v>
      </c>
      <c r="B3" s="3" t="s">
        <v>95</v>
      </c>
      <c r="C3" s="3" t="s">
        <v>96</v>
      </c>
      <c r="D3" s="3" t="s">
        <v>97</v>
      </c>
      <c r="E3" s="3" t="s">
        <v>98</v>
      </c>
    </row>
    <row r="4" spans="1:5">
      <c r="A4">
        <v>0</v>
      </c>
      <c r="B4" s="16">
        <f>0</f>
        <v>0</v>
      </c>
      <c r="C4" s="16">
        <f>0</f>
        <v>0</v>
      </c>
      <c r="D4" s="16">
        <f>'Consumer Inputs'!B11+'Consumer Inputs'!B12</f>
        <v>26000</v>
      </c>
      <c r="E4" s="5" t="s">
        <v>99</v>
      </c>
    </row>
    <row r="5" spans="1:5" ht="27.6">
      <c r="A5">
        <v>1</v>
      </c>
      <c r="B5" s="16">
        <f>IF(A5&lt;='Consumer Inputs'!$B$17,(('Consumer Inputs'!$B$11+'Consumer Inputs'!$B$12)-'Consumer Inputs'!$B$18)/'Consumer Inputs'!$B$17,0)</f>
        <v>2166.6666666666665</v>
      </c>
      <c r="C5" s="16">
        <f>MIN(('Consumer Inputs'!$B$11+'Consumer Inputs'!$B$12)-'Consumer Inputs'!$B$18,SUM($B$5:B5))</f>
        <v>2166.6666666666665</v>
      </c>
      <c r="D5" s="16">
        <f>MAX('Consumer Inputs'!$B$18,('Consumer Inputs'!$B$11+'Consumer Inputs'!$B$12)-C5)</f>
        <v>23833.333333333332</v>
      </c>
      <c r="E5" s="5" t="s">
        <v>100</v>
      </c>
    </row>
    <row r="6" spans="1:5" ht="27.6">
      <c r="A6">
        <v>2</v>
      </c>
      <c r="B6" s="16">
        <f>IF(A6&lt;='Consumer Inputs'!$B$17,(('Consumer Inputs'!$B$11+'Consumer Inputs'!$B$12)-'Consumer Inputs'!$B$18)/'Consumer Inputs'!$B$17,0)</f>
        <v>2166.6666666666665</v>
      </c>
      <c r="C6" s="16">
        <f>MIN(('Consumer Inputs'!$B$11+'Consumer Inputs'!$B$12)-'Consumer Inputs'!$B$18,SUM($B$5:B6))</f>
        <v>4333.333333333333</v>
      </c>
      <c r="D6" s="16">
        <f>MAX('Consumer Inputs'!$B$18,('Consumer Inputs'!$B$11+'Consumer Inputs'!$B$12)-C6)</f>
        <v>21666.666666666668</v>
      </c>
      <c r="E6" s="5" t="s">
        <v>100</v>
      </c>
    </row>
    <row r="7" spans="1:5" ht="27.6">
      <c r="A7">
        <v>3</v>
      </c>
      <c r="B7" s="16">
        <f>IF(A7&lt;='Consumer Inputs'!$B$17,(('Consumer Inputs'!$B$11+'Consumer Inputs'!$B$12)-'Consumer Inputs'!$B$18)/'Consumer Inputs'!$B$17,0)</f>
        <v>2166.6666666666665</v>
      </c>
      <c r="C7" s="16">
        <f>MIN(('Consumer Inputs'!$B$11+'Consumer Inputs'!$B$12)-'Consumer Inputs'!$B$18,SUM($B$5:B7))</f>
        <v>6500</v>
      </c>
      <c r="D7" s="16">
        <f>MAX('Consumer Inputs'!$B$18,('Consumer Inputs'!$B$11+'Consumer Inputs'!$B$12)-C7)</f>
        <v>19500</v>
      </c>
      <c r="E7" s="5" t="s">
        <v>100</v>
      </c>
    </row>
    <row r="8" spans="1:5" ht="27.6">
      <c r="A8">
        <v>4</v>
      </c>
      <c r="B8" s="16">
        <f>IF(A8&lt;='Consumer Inputs'!$B$17,(('Consumer Inputs'!$B$11+'Consumer Inputs'!$B$12)-'Consumer Inputs'!$B$18)/'Consumer Inputs'!$B$17,0)</f>
        <v>2166.6666666666665</v>
      </c>
      <c r="C8" s="16">
        <f>MIN(('Consumer Inputs'!$B$11+'Consumer Inputs'!$B$12)-'Consumer Inputs'!$B$18,SUM($B$5:B8))</f>
        <v>8666.6666666666661</v>
      </c>
      <c r="D8" s="16">
        <f>MAX('Consumer Inputs'!$B$18,('Consumer Inputs'!$B$11+'Consumer Inputs'!$B$12)-C8)</f>
        <v>17333.333333333336</v>
      </c>
      <c r="E8" s="5" t="s">
        <v>100</v>
      </c>
    </row>
    <row r="9" spans="1:5" ht="27.6">
      <c r="A9">
        <v>5</v>
      </c>
      <c r="B9" s="16">
        <f>IF(A9&lt;='Consumer Inputs'!$B$17,(('Consumer Inputs'!$B$11+'Consumer Inputs'!$B$12)-'Consumer Inputs'!$B$18)/'Consumer Inputs'!$B$17,0)</f>
        <v>2166.6666666666665</v>
      </c>
      <c r="C9" s="16">
        <f>MIN(('Consumer Inputs'!$B$11+'Consumer Inputs'!$B$12)-'Consumer Inputs'!$B$18,SUM($B$5:B9))</f>
        <v>10833.333333333332</v>
      </c>
      <c r="D9" s="16">
        <f>MAX('Consumer Inputs'!$B$18,('Consumer Inputs'!$B$11+'Consumer Inputs'!$B$12)-C9)</f>
        <v>15166.666666666668</v>
      </c>
      <c r="E9" s="5" t="s">
        <v>100</v>
      </c>
    </row>
    <row r="10" spans="1:5" ht="27.6">
      <c r="A10">
        <v>6</v>
      </c>
      <c r="B10" s="16">
        <f>IF(A10&lt;='Consumer Inputs'!$B$17,(('Consumer Inputs'!$B$11+'Consumer Inputs'!$B$12)-'Consumer Inputs'!$B$18)/'Consumer Inputs'!$B$17,0)</f>
        <v>2166.6666666666665</v>
      </c>
      <c r="C10" s="16">
        <f>MIN(('Consumer Inputs'!$B$11+'Consumer Inputs'!$B$12)-'Consumer Inputs'!$B$18,SUM($B$5:B10))</f>
        <v>12999.999999999998</v>
      </c>
      <c r="D10" s="16">
        <f>MAX('Consumer Inputs'!$B$18,('Consumer Inputs'!$B$11+'Consumer Inputs'!$B$12)-C10)</f>
        <v>13000.000000000002</v>
      </c>
      <c r="E10" s="5" t="s">
        <v>100</v>
      </c>
    </row>
    <row r="11" spans="1:5" ht="27.6">
      <c r="A11">
        <v>7</v>
      </c>
      <c r="B11" s="16">
        <f>IF(A11&lt;='Consumer Inputs'!$B$17,(('Consumer Inputs'!$B$11+'Consumer Inputs'!$B$12)-'Consumer Inputs'!$B$18)/'Consumer Inputs'!$B$17,0)</f>
        <v>2166.6666666666665</v>
      </c>
      <c r="C11" s="16">
        <f>MIN(('Consumer Inputs'!$B$11+'Consumer Inputs'!$B$12)-'Consumer Inputs'!$B$18,SUM($B$5:B11))</f>
        <v>15166.666666666664</v>
      </c>
      <c r="D11" s="16">
        <f>MAX('Consumer Inputs'!$B$18,('Consumer Inputs'!$B$11+'Consumer Inputs'!$B$12)-C11)</f>
        <v>10833.333333333336</v>
      </c>
      <c r="E11" s="5" t="s">
        <v>100</v>
      </c>
    </row>
    <row r="12" spans="1:5" ht="27.6">
      <c r="A12">
        <v>8</v>
      </c>
      <c r="B12" s="16">
        <f>IF(A12&lt;='Consumer Inputs'!$B$17,(('Consumer Inputs'!$B$11+'Consumer Inputs'!$B$12)-'Consumer Inputs'!$B$18)/'Consumer Inputs'!$B$17,0)</f>
        <v>2166.6666666666665</v>
      </c>
      <c r="C12" s="16">
        <f>MIN(('Consumer Inputs'!$B$11+'Consumer Inputs'!$B$12)-'Consumer Inputs'!$B$18,SUM($B$5:B12))</f>
        <v>17333.333333333332</v>
      </c>
      <c r="D12" s="16">
        <f>MAX('Consumer Inputs'!$B$18,('Consumer Inputs'!$B$11+'Consumer Inputs'!$B$12)-C12)</f>
        <v>8666.6666666666679</v>
      </c>
      <c r="E12" s="5" t="s">
        <v>100</v>
      </c>
    </row>
    <row r="13" spans="1:5" ht="27.6">
      <c r="A13">
        <v>9</v>
      </c>
      <c r="B13" s="16">
        <f>IF(A13&lt;='Consumer Inputs'!$B$17,(('Consumer Inputs'!$B$11+'Consumer Inputs'!$B$12)-'Consumer Inputs'!$B$18)/'Consumer Inputs'!$B$17,0)</f>
        <v>2166.6666666666665</v>
      </c>
      <c r="C13" s="16">
        <f>MIN(('Consumer Inputs'!$B$11+'Consumer Inputs'!$B$12)-'Consumer Inputs'!$B$18,SUM($B$5:B13))</f>
        <v>19500</v>
      </c>
      <c r="D13" s="16">
        <f>MAX('Consumer Inputs'!$B$18,('Consumer Inputs'!$B$11+'Consumer Inputs'!$B$12)-C13)</f>
        <v>6500</v>
      </c>
      <c r="E13" s="5" t="s">
        <v>100</v>
      </c>
    </row>
    <row r="14" spans="1:5" ht="27.6">
      <c r="A14">
        <v>10</v>
      </c>
      <c r="B14" s="16">
        <f>IF(A14&lt;='Consumer Inputs'!$B$17,(('Consumer Inputs'!$B$11+'Consumer Inputs'!$B$12)-'Consumer Inputs'!$B$18)/'Consumer Inputs'!$B$17,0)</f>
        <v>2166.6666666666665</v>
      </c>
      <c r="C14" s="16">
        <f>MIN(('Consumer Inputs'!$B$11+'Consumer Inputs'!$B$12)-'Consumer Inputs'!$B$18,SUM($B$5:B14))</f>
        <v>21666.666666666668</v>
      </c>
      <c r="D14" s="16">
        <f>MAX('Consumer Inputs'!$B$18,('Consumer Inputs'!$B$11+'Consumer Inputs'!$B$12)-C14)</f>
        <v>4333.3333333333321</v>
      </c>
      <c r="E14" s="5" t="s">
        <v>100</v>
      </c>
    </row>
    <row r="15" spans="1:5" ht="27.6">
      <c r="A15">
        <v>11</v>
      </c>
      <c r="B15" s="16">
        <f>IF(A15&lt;='Consumer Inputs'!$B$17,(('Consumer Inputs'!$B$11+'Consumer Inputs'!$B$12)-'Consumer Inputs'!$B$18)/'Consumer Inputs'!$B$17,0)</f>
        <v>2166.6666666666665</v>
      </c>
      <c r="C15" s="16">
        <f>MIN(('Consumer Inputs'!$B$11+'Consumer Inputs'!$B$12)-'Consumer Inputs'!$B$18,SUM($B$5:B15))</f>
        <v>23833.333333333336</v>
      </c>
      <c r="D15" s="16">
        <f>MAX('Consumer Inputs'!$B$18,('Consumer Inputs'!$B$11+'Consumer Inputs'!$B$12)-C15)</f>
        <v>2166.6666666666642</v>
      </c>
      <c r="E15" s="5" t="s">
        <v>100</v>
      </c>
    </row>
    <row r="16" spans="1:5" ht="27.6">
      <c r="A16">
        <v>12</v>
      </c>
      <c r="B16" s="16">
        <f>IF(A16&lt;='Consumer Inputs'!$B$17,(('Consumer Inputs'!$B$11+'Consumer Inputs'!$B$12)-'Consumer Inputs'!$B$18)/'Consumer Inputs'!$B$17,0)</f>
        <v>2166.6666666666665</v>
      </c>
      <c r="C16" s="16">
        <f>MIN(('Consumer Inputs'!$B$11+'Consumer Inputs'!$B$12)-'Consumer Inputs'!$B$18,SUM($B$5:B16))</f>
        <v>26000</v>
      </c>
      <c r="D16" s="16">
        <f>MAX('Consumer Inputs'!$B$18,('Consumer Inputs'!$B$11+'Consumer Inputs'!$B$12)-C16)</f>
        <v>0</v>
      </c>
      <c r="E16" s="5" t="s">
        <v>100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5"/>
  <sheetViews>
    <sheetView workbookViewId="0"/>
  </sheetViews>
  <sheetFormatPr defaultRowHeight="13.8"/>
  <cols>
    <col min="1" max="1" width="68" customWidth="1"/>
    <col min="2" max="2" width="80" customWidth="1"/>
  </cols>
  <sheetData>
    <row r="1" spans="1:2" ht="16.8">
      <c r="A1" s="1" t="s">
        <v>101</v>
      </c>
      <c r="B1" s="1"/>
    </row>
    <row r="3" spans="1:2" ht="41.4">
      <c r="A3" s="2" t="s">
        <v>102</v>
      </c>
      <c r="B3" s="5" t="s">
        <v>103</v>
      </c>
    </row>
    <row r="4" spans="1:2" ht="41.4">
      <c r="A4" s="2" t="s">
        <v>104</v>
      </c>
      <c r="B4" s="5" t="s">
        <v>105</v>
      </c>
    </row>
    <row r="5" spans="1:2" ht="41.4">
      <c r="A5" s="2" t="s">
        <v>106</v>
      </c>
      <c r="B5" s="5" t="s">
        <v>107</v>
      </c>
    </row>
    <row r="6" spans="1:2" ht="41.4">
      <c r="A6" s="2" t="s">
        <v>108</v>
      </c>
      <c r="B6" s="5" t="s">
        <v>109</v>
      </c>
    </row>
    <row r="7" spans="1:2" ht="41.4">
      <c r="A7" s="2" t="s">
        <v>110</v>
      </c>
      <c r="B7" s="5" t="s">
        <v>111</v>
      </c>
    </row>
    <row r="8" spans="1:2" ht="41.4">
      <c r="A8" s="2" t="s">
        <v>74</v>
      </c>
      <c r="B8" s="5" t="s">
        <v>112</v>
      </c>
    </row>
    <row r="9" spans="1:2" ht="27.6">
      <c r="A9" s="2" t="s">
        <v>79</v>
      </c>
      <c r="B9" s="5" t="s">
        <v>113</v>
      </c>
    </row>
    <row r="10" spans="1:2" ht="27.6">
      <c r="A10" s="2" t="s">
        <v>114</v>
      </c>
      <c r="B10" s="5" t="s">
        <v>115</v>
      </c>
    </row>
    <row r="11" spans="1:2" ht="27.6">
      <c r="A11" s="2" t="s">
        <v>116</v>
      </c>
      <c r="B11" s="5" t="s">
        <v>117</v>
      </c>
    </row>
    <row r="12" spans="1:2" ht="27.6">
      <c r="A12" s="2" t="s">
        <v>118</v>
      </c>
      <c r="B12" s="5" t="s">
        <v>119</v>
      </c>
    </row>
    <row r="13" spans="1:2" ht="27.6">
      <c r="A13" s="2" t="s">
        <v>120</v>
      </c>
      <c r="B13" s="5" t="s">
        <v>121</v>
      </c>
    </row>
    <row r="14" spans="1:2" ht="27.6">
      <c r="A14" s="2" t="s">
        <v>122</v>
      </c>
      <c r="B14" s="5" t="s">
        <v>123</v>
      </c>
    </row>
    <row r="15" spans="1:2" ht="41.4">
      <c r="A15" s="2" t="s">
        <v>124</v>
      </c>
      <c r="B15" s="5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Consumer ROI Dashboard</vt:lpstr>
      <vt:lpstr>Consumer Inputs</vt:lpstr>
      <vt:lpstr>Consumer Cash Flow</vt:lpstr>
      <vt:lpstr>Consumer Scenarios</vt:lpstr>
      <vt:lpstr>Sensitivity Analysis</vt:lpstr>
      <vt:lpstr>Depreciation Schedule</vt:lpstr>
      <vt:lpstr>Methodology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Paolo Renomeron</cp:lastModifiedBy>
  <dcterms:modified xsi:type="dcterms:W3CDTF">2026-06-03T06:50:07Z</dcterms:modified>
</cp:coreProperties>
</file>